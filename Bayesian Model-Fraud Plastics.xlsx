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eet\Downloads\"/>
    </mc:Choice>
  </mc:AlternateContent>
  <xr:revisionPtr revIDLastSave="0" documentId="13_ncr:1_{88799A07-6BB6-4A1B-B348-102DD7609F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M-Model Testing" sheetId="2" r:id="rId1"/>
    <sheet name="Fraud Bayesian Model" sheetId="1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" l="1"/>
  <c r="D6" i="2"/>
  <c r="B12" i="2" s="1"/>
  <c r="E4" i="1"/>
  <c r="E3" i="1"/>
  <c r="E7" i="1" s="1"/>
  <c r="F9" i="1"/>
  <c r="F7" i="1"/>
  <c r="F6" i="1"/>
  <c r="F4" i="1"/>
  <c r="F3" i="1"/>
  <c r="E6" i="1" l="1"/>
  <c r="E9" i="1" s="1"/>
</calcChain>
</file>

<file path=xl/sharedStrings.xml><?xml version="1.0" encoding="utf-8"?>
<sst xmlns="http://schemas.openxmlformats.org/spreadsheetml/2006/main" count="33" uniqueCount="33">
  <si>
    <t>Three-Model Fraud Detection Bayesian Model</t>
  </si>
  <si>
    <t>Base fraud rate</t>
  </si>
  <si>
    <t>Probability(all 3 alerts | Fraud)</t>
  </si>
  <si>
    <t>Probability(all 3 alerts | Non-Fraud)</t>
  </si>
  <si>
    <t>Model 1 False Positive Rate</t>
  </si>
  <si>
    <t>Numerator</t>
  </si>
  <si>
    <t>Model 2 False Positive Rate</t>
  </si>
  <si>
    <t>Denominator</t>
  </si>
  <si>
    <t>Model 3 False Positive Rate</t>
  </si>
  <si>
    <t>Posterior P(Fraud | All 3 Alert)</t>
  </si>
  <si>
    <t>Fraud correlation adjustment</t>
  </si>
  <si>
    <t>Non-fraud correlation adjustment</t>
  </si>
  <si>
    <t>Correlation adjustments approximate dependence among models.</t>
  </si>
  <si>
    <t>Set adjustments to 1.0 to assume independence.</t>
  </si>
  <si>
    <t>Posterior probability updates automatically.</t>
  </si>
  <si>
    <r>
      <rPr>
        <b/>
        <sz val="36"/>
        <color theme="0"/>
        <rFont val="Calibri"/>
        <family val="2"/>
        <scheme val="minor"/>
      </rPr>
      <t>Quant Model Tester</t>
    </r>
    <r>
      <rPr>
        <b/>
        <sz val="20"/>
        <color theme="0"/>
        <rFont val="Calibri"/>
        <family val="2"/>
        <scheme val="minor"/>
      </rPr>
      <t xml:space="preserve"> -</t>
    </r>
    <r>
      <rPr>
        <b/>
        <sz val="10"/>
        <color theme="0"/>
        <rFont val="Calibri"/>
        <family val="2"/>
        <scheme val="minor"/>
      </rPr>
      <t xml:space="preserve"> </t>
    </r>
    <r>
      <rPr>
        <b/>
        <sz val="14"/>
        <color theme="0"/>
        <rFont val="Calibri"/>
        <family val="2"/>
        <scheme val="minor"/>
      </rPr>
      <t>Proabability of a transaction being Flagged as Suspicious and being fraud</t>
    </r>
  </si>
  <si>
    <t>Model Input</t>
  </si>
  <si>
    <t>Model Output</t>
  </si>
  <si>
    <t>Type of transaction</t>
  </si>
  <si>
    <t>Number of transactions</t>
  </si>
  <si>
    <t>Number of Flags</t>
  </si>
  <si>
    <t>%hits</t>
  </si>
  <si>
    <t>Case</t>
  </si>
  <si>
    <t>Fraud</t>
  </si>
  <si>
    <t>True Positive</t>
  </si>
  <si>
    <t>Legitimate</t>
  </si>
  <si>
    <t>False Positive</t>
  </si>
  <si>
    <t>Hitorical Fraud Rate</t>
  </si>
  <si>
    <t>Probability that a fraud transaction will be flagged as suspicious</t>
  </si>
  <si>
    <t>Model 1 Sensitivity | True positive Rate</t>
  </si>
  <si>
    <t>Model 2 Sensitivity | True positive Rate</t>
  </si>
  <si>
    <t>Model 3 Sensitivity | True positive Rate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</si>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</sst>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1" xfId="0" applyBorder="1"/>
    <xf numFmtId="0" fontId="3" fillId="2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3" borderId="1" xfId="0" applyFill="1" applyBorder="1"/>
    <xf numFmtId="0" fontId="7" fillId="3" borderId="4" xfId="0" applyFont="1" applyFill="1" applyBorder="1"/>
    <xf numFmtId="0" fontId="7" fillId="4" borderId="4" xfId="0" applyFont="1" applyFill="1" applyBorder="1"/>
    <xf numFmtId="10" fontId="0" fillId="4" borderId="4" xfId="0" applyNumberFormat="1" applyFill="1" applyBorder="1"/>
    <xf numFmtId="0" fontId="0" fillId="4" borderId="4" xfId="0" applyFill="1" applyBorder="1"/>
    <xf numFmtId="10" fontId="7" fillId="0" borderId="0" xfId="0" applyNumberFormat="1" applyFont="1"/>
    <xf numFmtId="10" fontId="3" fillId="5" borderId="0" xfId="0" applyNumberFormat="1" applyFont="1" applyFill="1" applyAlignment="1">
      <alignment horizontal="center" vertical="center"/>
    </xf>
    <xf numFmtId="0" fontId="0" fillId="0" borderId="0" xfId="0" applyBorder="1"/>
    <xf numFmtId="0" fontId="8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C70C-26C4-4DE7-81EB-C64881D6FF2E}">
  <dimension ref="A1:E13"/>
  <sheetViews>
    <sheetView tabSelected="1" workbookViewId="0">
      <selection activeCell="H15" sqref="H15"/>
    </sheetView>
  </sheetViews>
  <sheetFormatPr defaultRowHeight="15" x14ac:dyDescent="0.25"/>
  <cols>
    <col min="1" max="1" width="18.140625" bestFit="1" customWidth="1"/>
    <col min="2" max="2" width="22.140625" bestFit="1" customWidth="1"/>
    <col min="3" max="3" width="15.5703125" bestFit="1" customWidth="1"/>
    <col min="5" max="5" width="13.28515625" bestFit="1" customWidth="1"/>
  </cols>
  <sheetData>
    <row r="1" spans="1:5" s="3" customFormat="1" x14ac:dyDescent="0.25">
      <c r="A1" s="3" t="s">
        <v>15</v>
      </c>
    </row>
    <row r="2" spans="1:5" s="3" customFormat="1" x14ac:dyDescent="0.25"/>
    <row r="3" spans="1:5" s="3" customFormat="1" x14ac:dyDescent="0.25"/>
    <row r="4" spans="1:5" x14ac:dyDescent="0.25">
      <c r="A4" s="4" t="s">
        <v>16</v>
      </c>
      <c r="B4" s="4"/>
      <c r="C4" s="5" t="s">
        <v>17</v>
      </c>
      <c r="D4" s="5"/>
      <c r="E4" s="5"/>
    </row>
    <row r="5" spans="1:5" x14ac:dyDescent="0.25">
      <c r="A5" s="6" t="s">
        <v>18</v>
      </c>
      <c r="B5" s="6" t="s">
        <v>19</v>
      </c>
      <c r="C5" s="7" t="s">
        <v>20</v>
      </c>
      <c r="D5" s="7" t="s">
        <v>21</v>
      </c>
      <c r="E5" s="7" t="s">
        <v>22</v>
      </c>
    </row>
    <row r="6" spans="1:5" x14ac:dyDescent="0.25">
      <c r="A6" s="8" t="s">
        <v>23</v>
      </c>
      <c r="B6" s="9">
        <v>84328342</v>
      </c>
      <c r="C6" s="10">
        <v>80111925</v>
      </c>
      <c r="D6" s="11">
        <f>C6/B6</f>
        <v>0.95000000118584094</v>
      </c>
      <c r="E6" s="12" t="s">
        <v>24</v>
      </c>
    </row>
    <row r="7" spans="1:5" x14ac:dyDescent="0.25">
      <c r="A7" s="8" t="s">
        <v>25</v>
      </c>
      <c r="B7" s="9">
        <v>23544</v>
      </c>
      <c r="C7" s="10">
        <v>470</v>
      </c>
      <c r="D7" s="11">
        <f>C7/B7</f>
        <v>1.9962623173632347E-2</v>
      </c>
      <c r="E7" s="12" t="s">
        <v>26</v>
      </c>
    </row>
    <row r="9" spans="1:5" x14ac:dyDescent="0.25">
      <c r="A9" t="s">
        <v>27</v>
      </c>
      <c r="B9" s="13">
        <v>5.0000000000000001E-3</v>
      </c>
    </row>
    <row r="11" spans="1:5" x14ac:dyDescent="0.25">
      <c r="A11" t="s">
        <v>28</v>
      </c>
    </row>
    <row r="12" spans="1:5" x14ac:dyDescent="0.25">
      <c r="B12" s="14">
        <f>(D6*B9)/((D6*B9)+(D7*(1-B9)))</f>
        <v>0.19298893517794535</v>
      </c>
      <c r="C12" s="14"/>
    </row>
    <row r="13" spans="1:5" x14ac:dyDescent="0.25">
      <c r="B13" s="14"/>
      <c r="C13" s="14"/>
    </row>
  </sheetData>
  <mergeCells count="4">
    <mergeCell ref="A1:XFD3"/>
    <mergeCell ref="A4:B4"/>
    <mergeCell ref="C4:E4"/>
    <mergeCell ref="B12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activeCell="E17" sqref="E17"/>
    </sheetView>
  </sheetViews>
  <sheetFormatPr defaultRowHeight="15" x14ac:dyDescent="0.25"/>
  <cols>
    <col min="1" max="1" width="61.42578125" bestFit="1" customWidth="1"/>
    <col min="4" max="4" width="33.140625" bestFit="1" customWidth="1"/>
    <col min="5" max="5" width="9.140625" style="15"/>
  </cols>
  <sheetData>
    <row r="1" spans="1:6" ht="18.75" x14ac:dyDescent="0.3">
      <c r="A1" s="1" t="s">
        <v>0</v>
      </c>
    </row>
    <row r="3" spans="1:6" x14ac:dyDescent="0.25">
      <c r="A3" s="2" t="s">
        <v>1</v>
      </c>
      <c r="B3">
        <v>5.0000000000000001E-3</v>
      </c>
      <c r="D3" t="s">
        <v>2</v>
      </c>
      <c r="E3" s="2">
        <f>B4*B6*B8*B10</f>
        <v>0.74726999999999988</v>
      </c>
      <c r="F3" t="str">
        <f ca="1">_xlfn.FORMULATEXT(E3)</f>
        <v>=B4*B6*B8*B10</v>
      </c>
    </row>
    <row r="4" spans="1:6" x14ac:dyDescent="0.25">
      <c r="A4" s="2" t="s">
        <v>29</v>
      </c>
      <c r="B4">
        <v>0.95</v>
      </c>
      <c r="D4" t="s">
        <v>3</v>
      </c>
      <c r="E4" s="2">
        <f>B5*B7*B9*B11</f>
        <v>1.7999999999999997E-5</v>
      </c>
      <c r="F4" t="str">
        <f ca="1">_xlfn.FORMULATEXT(E4)</f>
        <v>=B5*B7*B9*B11</v>
      </c>
    </row>
    <row r="5" spans="1:6" x14ac:dyDescent="0.25">
      <c r="A5" s="2" t="s">
        <v>4</v>
      </c>
      <c r="B5">
        <v>0.02</v>
      </c>
    </row>
    <row r="6" spans="1:6" x14ac:dyDescent="0.25">
      <c r="A6" s="2" t="s">
        <v>30</v>
      </c>
      <c r="B6">
        <v>0.92</v>
      </c>
      <c r="D6" t="s">
        <v>5</v>
      </c>
      <c r="E6" s="2">
        <f>B3*E3</f>
        <v>3.7363499999999994E-3</v>
      </c>
      <c r="F6" t="str">
        <f t="shared" ref="F6:F9" ca="1" si="0">_xlfn.FORMULATEXT(E6)</f>
        <v>=B3*E3</v>
      </c>
    </row>
    <row r="7" spans="1:6" x14ac:dyDescent="0.25">
      <c r="A7" s="2" t="s">
        <v>6</v>
      </c>
      <c r="B7">
        <v>0.03</v>
      </c>
      <c r="D7" t="s">
        <v>7</v>
      </c>
      <c r="E7" s="2">
        <f>B3*E3+(1-B3)*E4</f>
        <v>3.7542599999999993E-3</v>
      </c>
      <c r="F7" t="str">
        <f t="shared" ca="1" si="0"/>
        <v>=B3*E3+(1-B3)*E4</v>
      </c>
    </row>
    <row r="8" spans="1:6" x14ac:dyDescent="0.25">
      <c r="A8" s="2" t="s">
        <v>31</v>
      </c>
      <c r="B8">
        <v>0.9</v>
      </c>
    </row>
    <row r="9" spans="1:6" x14ac:dyDescent="0.25">
      <c r="A9" s="2" t="s">
        <v>8</v>
      </c>
      <c r="B9">
        <v>2.5000000000000001E-2</v>
      </c>
      <c r="D9" t="s">
        <v>9</v>
      </c>
      <c r="E9" s="2">
        <f>E6/E7</f>
        <v>0.99522941937958487</v>
      </c>
      <c r="F9" t="str">
        <f t="shared" ca="1" si="0"/>
        <v>=E6/E7</v>
      </c>
    </row>
    <row r="10" spans="1:6" x14ac:dyDescent="0.25">
      <c r="A10" s="2" t="s">
        <v>10</v>
      </c>
      <c r="B10">
        <v>0.95</v>
      </c>
    </row>
    <row r="11" spans="1:6" x14ac:dyDescent="0.25">
      <c r="A11" s="2" t="s">
        <v>11</v>
      </c>
      <c r="B11">
        <v>1.2</v>
      </c>
    </row>
    <row r="14" spans="1:6" x14ac:dyDescent="0.25">
      <c r="A14" s="16" t="s">
        <v>32</v>
      </c>
    </row>
    <row r="15" spans="1:6" x14ac:dyDescent="0.25">
      <c r="A15" t="s">
        <v>12</v>
      </c>
    </row>
    <row r="16" spans="1:6" x14ac:dyDescent="0.25">
      <c r="A16" t="s">
        <v>13</v>
      </c>
    </row>
    <row r="17" spans="1:1" x14ac:dyDescent="0.25">
      <c r="A1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QM-Model Testing</vt:lpstr>
      <vt:lpstr>Fraud Bayesian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Ameet Salvi</cp:lastModifiedBy>
  <dcterms:created xsi:type="dcterms:W3CDTF">2026-06-03T06:38:41Z</dcterms:created>
  <dcterms:modified xsi:type="dcterms:W3CDTF">2026-06-03T07:49:15Z</dcterms:modified>
</cp:coreProperties>
</file>